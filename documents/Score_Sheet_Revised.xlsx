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65e18ebc3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3d2079dd73462c"/>
  </x:sheets>
</x:workbook>
</file>

<file path=xl/sharedStrings.xml><?xml version="1.0" encoding="utf-8"?>
<x:sst xmlns:x="http://schemas.openxmlformats.org/spreadsheetml/2006/main">
  <x:si>
    <x:t xml:space="preserve">Production Run #</x:t>
  </x:si>
  <x:si>
    <x:t xml:space="preserve">Production Run</x:t>
  </x:si>
  <x:si>
    <x:t xml:space="preserve">Signal to Downstream</x:t>
  </x:si>
  <x:si>
    <x:t xml:space="preserve">Full </x:t>
  </x:si>
  <x:si>
    <x:t xml:space="preserve">Partial</x:t>
  </x:si>
  <x:si>
    <x:t xml:space="preserve">Green</x:t>
  </x:si>
  <x:si>
    <x:t xml:space="preserve">Yellow (Future Action)</x:t>
  </x:si>
  <x:si>
    <x:t xml:space="preserve">Yellow (Further Analysis)</x:t>
  </x:si>
  <x:si>
    <x:t xml:space="preserve">Red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</x:si>
</x:sst>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color theme="1"/>
      <x:name val="Calibri"/>
    </x:font>
    <x:font>
      <x:b/>
      <x:sz val="14"/>
      <x:color rgb="FF18354A"/>
      <x:name val="Arial"/>
    </x:font>
    <x:font>
      <x:b/>
      <x:sz val="10"/>
      <x:color rgb="FFFFFFFF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rgb="FF425A6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FFF4D1"/>
      </x:patternFill>
    </x:fill>
    <x:fill>
      <x:patternFill patternType="solid">
        <x:fgColor rgb="FFEAF0F4"/>
      </x:patternFill>
    </x:fill>
  </x:fills>
  <x:borders count="2">
    <x:border/>
    <x:border>
      <x:bottom style="medium">
        <x:color rgb="FF18354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  <x:xf numFmtId="0" fontId="1" fillId="0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3" fillId="3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F2020"/>
      </x:font>
      <x:fill>
        <x:patternFill patternType="solid">
          <x:bgColor rgb="FFFFE0DE"/>
        </x:patternFill>
      </x:fill>
    </x:dxf>
    <x:dxf>
      <x:font>
        <x:b/>
        <x:color rgb="FF9F2020"/>
      </x:font>
      <x:fill>
        <x:patternFill patternType="solid">
          <x:bgColor rgb="FFFF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cf7571e424ae3" /><Relationship Type="http://schemas.openxmlformats.org/officeDocument/2006/relationships/theme" Target="/xl/theme/theme1.xml" Id="R6ae15a454e9d49bd" /><Relationship Type="http://schemas.openxmlformats.org/officeDocument/2006/relationships/sharedStrings" Target="/xl/sharedStrings.xml" Id="Rb184a891fa974fb7" /><Relationship Type="http://schemas.openxmlformats.org/officeDocument/2006/relationships/worksheet" Target="/xl/worksheets/sheet1.xml" Id="Rb23d2079dd7346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600000381469727"/>
  <x:cols>
    <x:col min="1" max="1" width="12" hidden="0" customWidth="1"/>
    <x:col min="7" max="7" width="17" hidden="0" customWidth="1"/>
    <x:col min="8" max="8" width="17" hidden="0" customWidth="1"/>
    <x:col min="10" max="10" width="13" hidden="0" customWidth="1"/>
    <x:col min="2" max="2" width="8" hidden="0" customWidth="1"/>
    <x:col min="3" max="3" width="8" hidden="0" customWidth="1"/>
    <x:col min="4" max="4" width="10" hidden="0" customWidth="1"/>
    <x:col min="5" max="5" width="10" hidden="0" customWidth="1"/>
    <x:col min="6" max="6" width="9" hidden="0" customWidth="1"/>
    <x:col min="9" max="9" width="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32" hidden="0" customWidth="1"/>
    <x:col min="18" max="18" width="12" hidden="0" customWidth="1"/>
  </x:cols>
  <x:sheetData>
    <x:row r="1" ht="30" customHeight="1">
      <x:c r="A1" s="3" t="str">
        <x:v>IRONHOLD 3.0 - Team / guild: _______________________ (one workbook per team)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1" customHeight="1">
      <x:c r="A2" s="11" t="s">
        <x:v>0</x:v>
      </x:c>
      <x:c r="B2" s="11" t="s">
        <x:v>1</x:v>
      </x:c>
      <x:c r="C2" s="11"/>
      <x:c r="D2" s="11"/>
      <x:c r="E2" s="11"/>
      <x:c r="F2" s="11" t="s">
        <x:v>2</x:v>
      </x:c>
      <x:c r="G2" s="11"/>
      <x:c r="H2" s="11"/>
      <x:c r="I2" s="11"/>
      <x:c r="J2" s="11" t="str">
        <x:v>Hours served this round</x:v>
      </x:c>
      <x:c r="K2" s="11" t="str">
        <x:v>New ticket cost (gold)</x:v>
      </x:c>
      <x:c r="L2" s="11" t="str">
        <x:v>Gold balance</x:v>
      </x:c>
      <x:c r="M2" s="11" t="str">
        <x:v>Good units transferred</x:v>
      </x:c>
      <x:c r="N2" s="11" t="str">
        <x:v>New 4h tickets</x:v>
      </x:c>
      <x:c r="O2" s="11" t="str">
        <x:v>New 8h tickets</x:v>
      </x:c>
      <x:c r="P2" s="11" t="str">
        <x:v>New 32h tickets</x:v>
      </x:c>
      <x:c r="Q2" s="11" t="str">
        <x:v>Solution / owner / due / queue</x:v>
      </x:c>
      <x:c r="R2" s="11" t="str">
        <x:v>Entry complete (1)</x:v>
      </x:c>
    </x:row>
    <x:row r="3" ht="31" customHeight="1">
      <x:c r="A3" s="11"/>
      <x:c r="B3" s="11" t="s">
        <x:v>3</x:v>
      </x:c>
      <x:c r="C3" s="11" t="s">
        <x:v>4</x:v>
      </x:c>
      <x:c r="D3" s="11" t="str">
        <x:v>Event (if partial)</x:v>
      </x:c>
      <x:c r="E3" s="11"/>
      <x:c r="F3" s="11" t="s">
        <x:v>5</x:v>
      </x:c>
      <x:c r="G3" s="11" t="s">
        <x:v>6</x:v>
      </x:c>
      <x:c r="H3" s="11" t="s">
        <x:v>7</x:v>
      </x:c>
      <x:c r="I3" s="11" t="s">
        <x:v>8</x:v>
      </x:c>
      <x:c r="J3" s="11"/>
      <x:c r="K3" s="11"/>
      <x:c r="L3" s="11"/>
      <x:c r="M3" s="11"/>
      <x:c r="N3" s="11"/>
      <x:c r="O3" s="11"/>
      <x:c r="P3" s="11"/>
      <x:c r="Q3" s="11"/>
      <x:c r="R3" s="11"/>
    </x:row>
    <x:row r="4" ht="29" customHeight="1">
      <x:c r="A4" s="18" t="n">
        <x:v>1</x:v>
      </x:c>
      <x:c r="B4" s="16"/>
      <x:c r="C4" s="16"/>
      <x:c r="D4" s="17"/>
      <x:c r="E4" s="17"/>
      <x:c r="F4" s="16"/>
      <x:c r="G4" s="16"/>
      <x:c r="H4" s="16"/>
      <x:c r="I4" s="16"/>
      <x:c r="J4" s="20"/>
      <x:c r="K4" s="21" t="str">
        <x:f>IF(R4&lt;&gt;1,"",IF(COUNT(J4,M4:P4)&lt;&gt;5,"Missing input",IF(OR(J4&lt;0,J4&gt;8,MOD(J4,4)&lt;&gt;0,M4&lt;0,M4&gt;2,MOD(M4,1)&lt;&gt;0,N4&lt;0,O4&lt;0,P4&lt;0,MOD(N4,1)&lt;&gt;0,MOD(O4,1)&lt;&gt;0,MOD(P4,1)&lt;&gt;0),"Invalid input",N4+2*O4+7*P4)))</x:f>
      </x:c>
      <x:c r="L4" s="21" t="str">
        <x:f>IF(R4&lt;&gt;1,"",IF(COUNT(K$4:K4)&lt;&gt;COUNTIFS(R$4:R4,1),"Incomplete",$B$21-SUM(K$4:K4)))</x:f>
      </x:c>
      <x:c r="M4" s="20"/>
      <x:c r="N4" s="20"/>
      <x:c r="O4" s="20"/>
      <x:c r="P4" s="20"/>
      <x:c r="Q4" s="19"/>
      <x:c r="R4" s="16"/>
    </x:row>
    <x:row r="5" ht="29" customHeight="1">
      <x:c r="A5" s="18" t="n">
        <x:v>2</x:v>
      </x:c>
      <x:c r="B5" s="16"/>
      <x:c r="C5" s="16"/>
      <x:c r="D5" s="17"/>
      <x:c r="E5" s="17"/>
      <x:c r="F5" s="16"/>
      <x:c r="G5" s="16"/>
      <x:c r="H5" s="16"/>
      <x:c r="I5" s="16"/>
      <x:c r="J5" s="20"/>
      <x:c r="K5" s="21" t="str">
        <x:f>IF(R5&lt;&gt;1,"",IF(COUNT(J5,M5:P5)&lt;&gt;5,"Missing input",IF(OR(J5&lt;0,J5&gt;8,MOD(J5,4)&lt;&gt;0,M5&lt;0,M5&gt;2,MOD(M5,1)&lt;&gt;0,N5&lt;0,O5&lt;0,P5&lt;0,MOD(N5,1)&lt;&gt;0,MOD(O5,1)&lt;&gt;0,MOD(P5,1)&lt;&gt;0),"Invalid input",N5+2*O5+7*P5)))</x:f>
      </x:c>
      <x:c r="L5" s="21" t="str">
        <x:f>IF(R5&lt;&gt;1,"",IF(COUNT(K$4:K5)&lt;&gt;COUNTIFS(R$4:R5,1),"Incomplete",$B$21-SUM(K$4:K5)))</x:f>
      </x:c>
      <x:c r="M5" s="20"/>
      <x:c r="N5" s="20"/>
      <x:c r="O5" s="20"/>
      <x:c r="P5" s="20"/>
      <x:c r="Q5" s="19"/>
      <x:c r="R5" s="16"/>
    </x:row>
    <x:row r="6" ht="29" customHeight="1">
      <x:c r="A6" s="18" t="n">
        <x:v>3</x:v>
      </x:c>
      <x:c r="B6" s="16"/>
      <x:c r="C6" s="16"/>
      <x:c r="D6" s="17"/>
      <x:c r="E6" s="17"/>
      <x:c r="F6" s="16"/>
      <x:c r="G6" s="16"/>
      <x:c r="H6" s="16"/>
      <x:c r="I6" s="16"/>
      <x:c r="J6" s="20"/>
      <x:c r="K6" s="21" t="str">
        <x:f>IF(R6&lt;&gt;1,"",IF(COUNT(J6,M6:P6)&lt;&gt;5,"Missing input",IF(OR(J6&lt;0,J6&gt;8,MOD(J6,4)&lt;&gt;0,M6&lt;0,M6&gt;2,MOD(M6,1)&lt;&gt;0,N6&lt;0,O6&lt;0,P6&lt;0,MOD(N6,1)&lt;&gt;0,MOD(O6,1)&lt;&gt;0,MOD(P6,1)&lt;&gt;0),"Invalid input",N6+2*O6+7*P6)))</x:f>
      </x:c>
      <x:c r="L6" s="21" t="str">
        <x:f>IF(R6&lt;&gt;1,"",IF(COUNT(K$4:K6)&lt;&gt;COUNTIFS(R$4:R6,1),"Incomplete",$B$21-SUM(K$4:K6)))</x:f>
      </x:c>
      <x:c r="M6" s="20"/>
      <x:c r="N6" s="20"/>
      <x:c r="O6" s="20"/>
      <x:c r="P6" s="20"/>
      <x:c r="Q6" s="19"/>
      <x:c r="R6" s="16"/>
    </x:row>
    <x:row r="7" ht="29" customHeight="1">
      <x:c r="A7" s="18" t="n">
        <x:v>4</x:v>
      </x:c>
      <x:c r="B7" s="16"/>
      <x:c r="C7" s="16"/>
      <x:c r="D7" s="17"/>
      <x:c r="E7" s="17"/>
      <x:c r="F7" s="16"/>
      <x:c r="G7" s="16"/>
      <x:c r="H7" s="16"/>
      <x:c r="I7" s="16"/>
      <x:c r="J7" s="20"/>
      <x:c r="K7" s="21" t="str">
        <x:f>IF(R7&lt;&gt;1,"",IF(COUNT(J7,M7:P7)&lt;&gt;5,"Missing input",IF(OR(J7&lt;0,J7&gt;8,MOD(J7,4)&lt;&gt;0,M7&lt;0,M7&gt;2,MOD(M7,1)&lt;&gt;0,N7&lt;0,O7&lt;0,P7&lt;0,MOD(N7,1)&lt;&gt;0,MOD(O7,1)&lt;&gt;0,MOD(P7,1)&lt;&gt;0),"Invalid input",N7+2*O7+7*P7)))</x:f>
      </x:c>
      <x:c r="L7" s="21" t="str">
        <x:f>IF(R7&lt;&gt;1,"",IF(COUNT(K$4:K7)&lt;&gt;COUNTIFS(R$4:R7,1),"Incomplete",$B$21-SUM(K$4:K7)))</x:f>
      </x:c>
      <x:c r="M7" s="20"/>
      <x:c r="N7" s="20"/>
      <x:c r="O7" s="20"/>
      <x:c r="P7" s="20"/>
      <x:c r="Q7" s="19"/>
      <x:c r="R7" s="16"/>
    </x:row>
    <x:row r="8" ht="29" customHeight="1">
      <x:c r="A8" s="23" t="n">
        <x:v>5</x:v>
      </x:c>
      <x:c r="B8" s="24"/>
      <x:c r="C8" s="24"/>
      <x:c r="D8" s="25"/>
      <x:c r="E8" s="25"/>
      <x:c r="F8" s="24"/>
      <x:c r="G8" s="24"/>
      <x:c r="H8" s="24"/>
      <x:c r="I8" s="24"/>
      <x:c r="J8" s="26"/>
      <x:c r="K8" s="27" t="str">
        <x:f>IF(R8&lt;&gt;1,"",IF(COUNT(J8,M8:P8)&lt;&gt;5,"Missing input",IF(OR(J8&lt;0,J8&gt;8,MOD(J8,4)&lt;&gt;0,M8&lt;0,M8&gt;2,MOD(M8,1)&lt;&gt;0,N8&lt;0,O8&lt;0,P8&lt;0,MOD(N8,1)&lt;&gt;0,MOD(O8,1)&lt;&gt;0,MOD(P8,1)&lt;&gt;0),"Invalid input",N8+2*O8+7*P8)))</x:f>
      </x:c>
      <x:c r="L8" s="27" t="str">
        <x:f>IF(R8&lt;&gt;1,"",IF(COUNT(K$4:K8)&lt;&gt;COUNTIFS(R$4:R8,1),"Incomplete",$B$21-SUM(K$4:K8)))</x:f>
      </x:c>
      <x:c r="M8" s="26"/>
      <x:c r="N8" s="26"/>
      <x:c r="O8" s="26"/>
      <x:c r="P8" s="26"/>
      <x:c r="Q8" s="28"/>
      <x:c r="R8" s="24"/>
    </x:row>
    <x:row r="9" ht="29" customHeight="1">
      <x:c r="A9" s="18" t="n">
        <x:v>6</x:v>
      </x:c>
      <x:c r="B9" s="16"/>
      <x:c r="C9" s="16"/>
      <x:c r="D9" s="17"/>
      <x:c r="E9" s="17"/>
      <x:c r="F9" s="16"/>
      <x:c r="G9" s="16"/>
      <x:c r="H9" s="16"/>
      <x:c r="I9" s="16"/>
      <x:c r="J9" s="20"/>
      <x:c r="K9" s="21" t="str">
        <x:f>IF(R9&lt;&gt;1,"",IF(COUNT(J9,M9:P9)&lt;&gt;5,"Missing input",IF(OR(J9&lt;0,J9&gt;8,MOD(J9,4)&lt;&gt;0,M9&lt;0,M9&gt;2,MOD(M9,1)&lt;&gt;0,N9&lt;0,O9&lt;0,P9&lt;0,MOD(N9,1)&lt;&gt;0,MOD(O9,1)&lt;&gt;0,MOD(P9,1)&lt;&gt;0),"Invalid input",N9+2*O9+7*P9)))</x:f>
      </x:c>
      <x:c r="L9" s="21" t="str">
        <x:f>IF(R9&lt;&gt;1,"",IF(COUNT(K$4:K9)&lt;&gt;COUNTIFS(R$4:R9,1),"Incomplete",$B$21-SUM(K$4:K9)))</x:f>
      </x:c>
      <x:c r="M9" s="20"/>
      <x:c r="N9" s="20"/>
      <x:c r="O9" s="20"/>
      <x:c r="P9" s="20"/>
      <x:c r="Q9" s="19"/>
      <x:c r="R9" s="16"/>
    </x:row>
    <x:row r="10" ht="29" customHeight="1">
      <x:c r="A10" s="18" t="n">
        <x:v>7</x:v>
      </x:c>
      <x:c r="B10" s="16"/>
      <x:c r="C10" s="16"/>
      <x:c r="D10" s="17"/>
      <x:c r="E10" s="17"/>
      <x:c r="F10" s="16"/>
      <x:c r="G10" s="16"/>
      <x:c r="H10" s="16"/>
      <x:c r="I10" s="16"/>
      <x:c r="J10" s="20"/>
      <x:c r="K10" s="21" t="str">
        <x:f>IF(R10&lt;&gt;1,"",IF(COUNT(J10,M10:P10)&lt;&gt;5,"Missing input",IF(OR(J10&lt;0,J10&gt;8,MOD(J10,4)&lt;&gt;0,M10&lt;0,M10&gt;2,MOD(M10,1)&lt;&gt;0,N10&lt;0,O10&lt;0,P10&lt;0,MOD(N10,1)&lt;&gt;0,MOD(O10,1)&lt;&gt;0,MOD(P10,1)&lt;&gt;0),"Invalid input",N10+2*O10+7*P10)))</x:f>
      </x:c>
      <x:c r="L10" s="21" t="str">
        <x:f>IF(R10&lt;&gt;1,"",IF(COUNT(K$4:K10)&lt;&gt;COUNTIFS(R$4:R10,1),"Incomplete",$B$21-SUM(K$4:K10)))</x:f>
      </x:c>
      <x:c r="M10" s="20"/>
      <x:c r="N10" s="20"/>
      <x:c r="O10" s="20"/>
      <x:c r="P10" s="20"/>
      <x:c r="Q10" s="19"/>
      <x:c r="R10" s="16"/>
    </x:row>
    <x:row r="11" ht="29" customHeight="1">
      <x:c r="A11" s="18" t="n">
        <x:v>8</x:v>
      </x:c>
      <x:c r="B11" s="16"/>
      <x:c r="C11" s="16"/>
      <x:c r="D11" s="17"/>
      <x:c r="E11" s="17"/>
      <x:c r="F11" s="16"/>
      <x:c r="G11" s="16"/>
      <x:c r="H11" s="16"/>
      <x:c r="I11" s="16"/>
      <x:c r="J11" s="20"/>
      <x:c r="K11" s="21" t="str">
        <x:f>IF(R11&lt;&gt;1,"",IF(COUNT(J11,M11:P11)&lt;&gt;5,"Missing input",IF(OR(J11&lt;0,J11&gt;8,MOD(J11,4)&lt;&gt;0,M11&lt;0,M11&gt;2,MOD(M11,1)&lt;&gt;0,N11&lt;0,O11&lt;0,P11&lt;0,MOD(N11,1)&lt;&gt;0,MOD(O11,1)&lt;&gt;0,MOD(P11,1)&lt;&gt;0),"Invalid input",N11+2*O11+7*P11)))</x:f>
      </x:c>
      <x:c r="L11" s="21" t="str">
        <x:f>IF(R11&lt;&gt;1,"",IF(COUNT(K$4:K11)&lt;&gt;COUNTIFS(R$4:R11,1),"Incomplete",$B$21-SUM(K$4:K11)))</x:f>
      </x:c>
      <x:c r="M11" s="20"/>
      <x:c r="N11" s="20"/>
      <x:c r="O11" s="20"/>
      <x:c r="P11" s="20"/>
      <x:c r="Q11" s="19"/>
      <x:c r="R11" s="16"/>
    </x:row>
    <x:row r="12" ht="29" customHeight="1">
      <x:c r="A12" s="18" t="n">
        <x:v>9</x:v>
      </x:c>
      <x:c r="B12" s="16"/>
      <x:c r="C12" s="16"/>
      <x:c r="D12" s="17"/>
      <x:c r="E12" s="17"/>
      <x:c r="F12" s="16"/>
      <x:c r="G12" s="16"/>
      <x:c r="H12" s="16"/>
      <x:c r="I12" s="16"/>
      <x:c r="J12" s="20"/>
      <x:c r="K12" s="21" t="str">
        <x:f>IF(R12&lt;&gt;1,"",IF(COUNT(J12,M12:P12)&lt;&gt;5,"Missing input",IF(OR(J12&lt;0,J12&gt;8,MOD(J12,4)&lt;&gt;0,M12&lt;0,M12&gt;2,MOD(M12,1)&lt;&gt;0,N12&lt;0,O12&lt;0,P12&lt;0,MOD(N12,1)&lt;&gt;0,MOD(O12,1)&lt;&gt;0,MOD(P12,1)&lt;&gt;0),"Invalid input",N12+2*O12+7*P12)))</x:f>
      </x:c>
      <x:c r="L12" s="21" t="str">
        <x:f>IF(R12&lt;&gt;1,"",IF(COUNT(K$4:K12)&lt;&gt;COUNTIFS(R$4:R12,1),"Incomplete",$B$21-SUM(K$4:K12)))</x:f>
      </x:c>
      <x:c r="M12" s="20"/>
      <x:c r="N12" s="20"/>
      <x:c r="O12" s="20"/>
      <x:c r="P12" s="20"/>
      <x:c r="Q12" s="19"/>
      <x:c r="R12" s="16"/>
    </x:row>
    <x:row r="13" ht="29" customHeight="1">
      <x:c r="A13" s="23" t="n">
        <x:v>10</x:v>
      </x:c>
      <x:c r="B13" s="24"/>
      <x:c r="C13" s="24"/>
      <x:c r="D13" s="24"/>
      <x:c r="E13" s="24"/>
      <x:c r="F13" s="24"/>
      <x:c r="G13" s="24"/>
      <x:c r="H13" s="24"/>
      <x:c r="I13" s="24"/>
      <x:c r="J13" s="26"/>
      <x:c r="K13" s="27" t="str">
        <x:f>IF(R13&lt;&gt;1,"",IF(COUNT(J13,M13:P13)&lt;&gt;5,"Missing input",IF(OR(J13&lt;0,J13&gt;8,MOD(J13,4)&lt;&gt;0,M13&lt;0,M13&gt;2,MOD(M13,1)&lt;&gt;0,N13&lt;0,O13&lt;0,P13&lt;0,MOD(N13,1)&lt;&gt;0,MOD(O13,1)&lt;&gt;0,MOD(P13,1)&lt;&gt;0),"Invalid input",N13+2*O13+7*P13)))</x:f>
      </x:c>
      <x:c r="L13" s="27" t="str">
        <x:f>IF(R13&lt;&gt;1,"",IF(COUNT(K$4:K13)&lt;&gt;COUNTIFS(R$4:R13,1),"Incomplete",$B$21-SUM(K$4:K13)))</x:f>
      </x:c>
      <x:c r="M13" s="26"/>
      <x:c r="N13" s="26"/>
      <x:c r="O13" s="26"/>
      <x:c r="P13" s="26"/>
      <x:c r="Q13" s="28"/>
      <x:c r="R13" s="24"/>
    </x:row>
    <x:row r="14" ht="29" customHeight="1">
      <x:c r="A14" s="18" t="n">
        <x:v>11</x:v>
      </x:c>
      <x:c r="B14" s="16"/>
      <x:c r="C14" s="16"/>
      <x:c r="D14" s="16"/>
      <x:c r="E14" s="16"/>
      <x:c r="F14" s="16"/>
      <x:c r="G14" s="16"/>
      <x:c r="H14" s="16"/>
      <x:c r="I14" s="16"/>
      <x:c r="J14" s="20"/>
      <x:c r="K14" s="21" t="str">
        <x:f>IF(R14&lt;&gt;1,"",IF(COUNT(J14,M14:P14)&lt;&gt;5,"Missing input",IF(OR(J14&lt;0,J14&gt;8,MOD(J14,4)&lt;&gt;0,M14&lt;0,M14&gt;2,MOD(M14,1)&lt;&gt;0,N14&lt;0,O14&lt;0,P14&lt;0,MOD(N14,1)&lt;&gt;0,MOD(O14,1)&lt;&gt;0,MOD(P14,1)&lt;&gt;0),"Invalid input",N14+2*O14+7*P14)))</x:f>
      </x:c>
      <x:c r="L14" s="21" t="str">
        <x:f>IF(R14&lt;&gt;1,"",IF(COUNT(K$4:K14)&lt;&gt;COUNTIFS(R$4:R14,1),"Incomplete",$B$21-SUM(K$4:K14)))</x:f>
      </x:c>
      <x:c r="M14" s="20"/>
      <x:c r="N14" s="20"/>
      <x:c r="O14" s="20"/>
      <x:c r="P14" s="20"/>
      <x:c r="Q14" s="19"/>
      <x:c r="R14" s="16"/>
    </x:row>
    <x:row r="15" ht="29" customHeight="1">
      <x:c r="A15" s="18" t="n">
        <x:v>12</x:v>
      </x:c>
      <x:c r="B15" s="16"/>
      <x:c r="C15" s="16"/>
      <x:c r="D15" s="16"/>
      <x:c r="E15" s="16"/>
      <x:c r="F15" s="16"/>
      <x:c r="G15" s="16"/>
      <x:c r="H15" s="16"/>
      <x:c r="I15" s="16"/>
      <x:c r="J15" s="20"/>
      <x:c r="K15" s="21" t="str">
        <x:f>IF(R15&lt;&gt;1,"",IF(COUNT(J15,M15:P15)&lt;&gt;5,"Missing input",IF(OR(J15&lt;0,J15&gt;8,MOD(J15,4)&lt;&gt;0,M15&lt;0,M15&gt;2,MOD(M15,1)&lt;&gt;0,N15&lt;0,O15&lt;0,P15&lt;0,MOD(N15,1)&lt;&gt;0,MOD(O15,1)&lt;&gt;0,MOD(P15,1)&lt;&gt;0),"Invalid input",N15+2*O15+7*P15)))</x:f>
      </x:c>
      <x:c r="L15" s="21" t="str">
        <x:f>IF(R15&lt;&gt;1,"",IF(COUNT(K$4:K15)&lt;&gt;COUNTIFS(R$4:R15,1),"Incomplete",$B$21-SUM(K$4:K15)))</x:f>
      </x:c>
      <x:c r="M15" s="20"/>
      <x:c r="N15" s="20"/>
      <x:c r="O15" s="20"/>
      <x:c r="P15" s="20"/>
      <x:c r="Q15" s="19"/>
      <x:c r="R15" s="16"/>
    </x:row>
    <x:row r="16" ht="29" customHeight="1">
      <x:c r="A16" s="18" t="n">
        <x:v>13</x:v>
      </x:c>
      <x:c r="B16" s="16"/>
      <x:c r="C16" s="16"/>
      <x:c r="D16" s="16"/>
      <x:c r="E16" s="16"/>
      <x:c r="F16" s="16"/>
      <x:c r="G16" s="16"/>
      <x:c r="H16" s="16"/>
      <x:c r="I16" s="16"/>
      <x:c r="J16" s="20"/>
      <x:c r="K16" s="21" t="str">
        <x:f>IF(R16&lt;&gt;1,"",IF(COUNT(J16,M16:P16)&lt;&gt;5,"Missing input",IF(OR(J16&lt;0,J16&gt;8,MOD(J16,4)&lt;&gt;0,M16&lt;0,M16&gt;2,MOD(M16,1)&lt;&gt;0,N16&lt;0,O16&lt;0,P16&lt;0,MOD(N16,1)&lt;&gt;0,MOD(O16,1)&lt;&gt;0,MOD(P16,1)&lt;&gt;0),"Invalid input",N16+2*O16+7*P16)))</x:f>
      </x:c>
      <x:c r="L16" s="21" t="str">
        <x:f>IF(R16&lt;&gt;1,"",IF(COUNT(K$4:K16)&lt;&gt;COUNTIFS(R$4:R16,1),"Incomplete",$B$21-SUM(K$4:K16)))</x:f>
      </x:c>
      <x:c r="M16" s="20"/>
      <x:c r="N16" s="20"/>
      <x:c r="O16" s="20"/>
      <x:c r="P16" s="20"/>
      <x:c r="Q16" s="19"/>
      <x:c r="R16" s="16"/>
    </x:row>
    <x:row r="17" ht="29" customHeight="1">
      <x:c r="A17" s="18" t="n">
        <x:v>14</x:v>
      </x:c>
      <x:c r="B17" s="16"/>
      <x:c r="C17" s="16"/>
      <x:c r="D17" s="16"/>
      <x:c r="E17" s="16"/>
      <x:c r="F17" s="16"/>
      <x:c r="G17" s="16"/>
      <x:c r="H17" s="16"/>
      <x:c r="I17" s="16"/>
      <x:c r="J17" s="20"/>
      <x:c r="K17" s="21" t="str">
        <x:f>IF(R17&lt;&gt;1,"",IF(COUNT(J17,M17:P17)&lt;&gt;5,"Missing input",IF(OR(J17&lt;0,J17&gt;8,MOD(J17,4)&lt;&gt;0,M17&lt;0,M17&gt;2,MOD(M17,1)&lt;&gt;0,N17&lt;0,O17&lt;0,P17&lt;0,MOD(N17,1)&lt;&gt;0,MOD(O17,1)&lt;&gt;0,MOD(P17,1)&lt;&gt;0),"Invalid input",N17+2*O17+7*P17)))</x:f>
      </x:c>
      <x:c r="L17" s="21" t="str">
        <x:f>IF(R17&lt;&gt;1,"",IF(COUNT(K$4:K17)&lt;&gt;COUNTIFS(R$4:R17,1),"Incomplete",$B$21-SUM(K$4:K17)))</x:f>
      </x:c>
      <x:c r="M17" s="20"/>
      <x:c r="N17" s="20"/>
      <x:c r="O17" s="20"/>
      <x:c r="P17" s="20"/>
      <x:c r="Q17" s="19"/>
      <x:c r="R17" s="16"/>
    </x:row>
    <x:row r="18" ht="29" customHeight="1">
      <x:c r="A18" s="23" t="n">
        <x:v>15</x:v>
      </x:c>
      <x:c r="B18" s="24"/>
      <x:c r="C18" s="24"/>
      <x:c r="D18" s="24"/>
      <x:c r="E18" s="24"/>
      <x:c r="F18" s="24"/>
      <x:c r="G18" s="24"/>
      <x:c r="H18" s="24"/>
      <x:c r="I18" s="24"/>
      <x:c r="J18" s="26"/>
      <x:c r="K18" s="27" t="str">
        <x:f>IF(R18&lt;&gt;1,"",IF(COUNT(J18,M18:P18)&lt;&gt;5,"Missing input",IF(OR(J18&lt;0,J18&gt;8,MOD(J18,4)&lt;&gt;0,M18&lt;0,M18&gt;2,MOD(M18,1)&lt;&gt;0,N18&lt;0,O18&lt;0,P18&lt;0,MOD(N18,1)&lt;&gt;0,MOD(O18,1)&lt;&gt;0,MOD(P18,1)&lt;&gt;0),"Invalid input",N18+2*O18+7*P18)))</x:f>
      </x:c>
      <x:c r="L18" s="27" t="str">
        <x:f>IF(R18&lt;&gt;1,"",IF(COUNT(K$4:K18)&lt;&gt;COUNTIFS(R$4:R18,1),"Incomplete",$B$21-SUM(K$4:K18)))</x:f>
      </x:c>
      <x:c r="M18" s="26"/>
      <x:c r="N18" s="26"/>
      <x:c r="O18" s="26"/>
      <x:c r="P18" s="26"/>
      <x:c r="Q18" s="28"/>
      <x:c r="R18" s="24"/>
    </x:row>
    <x:row r="19" ht="29" customHeight="1">
      <x:c r="A19" s="18" t="str">
        <x:v>Settle</x:v>
      </x:c>
      <x:c r="B19" s="16"/>
      <x:c r="C19" s="16"/>
      <x:c r="D19" s="16"/>
      <x:c r="E19" s="16"/>
      <x:c r="F19" s="16"/>
      <x:c r="G19" s="16"/>
      <x:c r="H19" s="16"/>
      <x:c r="I19" s="16"/>
      <x:c r="J19" s="20"/>
      <x:c r="K19" s="21" t="str">
        <x:f>IF(R19&lt;&gt;1,"",IF(COUNT(J19,M19:P19)&lt;&gt;5,"Missing input",IF(OR(J19&lt;0,J19&gt;8,MOD(J19,4)&lt;&gt;0,M19&lt;0,M19&gt;2,MOD(M19,1)&lt;&gt;0,N19&lt;0,O19&lt;0,P19&lt;0,MOD(N19,1)&lt;&gt;0,MOD(O19,1)&lt;&gt;0,MOD(P19,1)&lt;&gt;0),"Invalid input",N19+2*O19+7*P19)))</x:f>
      </x:c>
      <x:c r="L19" s="21" t="str">
        <x:f>IF(R19&lt;&gt;1,"",IF(COUNT(K$4:K19)&lt;&gt;COUNTIFS(R$4:R19,1),"Incomplete",$B$21-SUM(K$4:K19)))</x:f>
      </x:c>
      <x:c r="M19" s="20"/>
      <x:c r="N19" s="20"/>
      <x:c r="O19" s="20"/>
      <x:c r="P19" s="20"/>
      <x:c r="Q19" s="19"/>
      <x:c r="R19" s="16"/>
    </x:row>
    <x:row r="20">
      <x:c r="J20" s="22"/>
      <x:c r="K20" s="22"/>
      <x:c r="L20" s="22"/>
      <x:c r="M20" s="22"/>
      <x:c r="N20" s="22"/>
      <x:c r="O20" s="22"/>
      <x:c r="P20" s="22"/>
    </x:row>
    <x:row r="21">
      <x:c r="A21" s="29" t="str">
        <x:v>Starting gold</x:v>
      </x:c>
      <x:c r="B21" s="29" t="n">
        <x:v>10</x:v>
      </x:c>
      <x:c r="C21" s="29"/>
      <x:c r="D21" s="29"/>
      <x:c r="E21" s="29"/>
      <x:c r="F21" s="29"/>
      <x:c r="G21" s="29"/>
      <x:c r="H21" s="29" t="str">
        <x:v>Recorded cost</x:v>
      </x:c>
      <x:c r="I21" s="29"/>
      <x:c r="J21" s="30"/>
      <x:c r="K21" s="31" t="n">
        <x:f>IF(COUNT(K4:K19)&lt;&gt;COUNTIFS(R4:R19,1),"Incomplete",SUM(K4:K19))</x:f>
        <x:v>0</x:v>
      </x:c>
      <x:c r="L21" s="31" t="n">
        <x:f>IF(ISNUMBER(K21),B21-K21,"Incomplete")</x:f>
        <x:v>10</x:v>
      </x:c>
      <x:c r="M21" s="31" t="n">
        <x:f>IF(ISNUMBER(K21),SUMIFS(M4:M19,R4:R19,1),"Incomplete")</x:f>
        <x:v>0</x:v>
      </x:c>
      <x:c r="N21" s="30"/>
      <x:c r="O21" s="30"/>
      <x:c r="P21" s="30"/>
      <x:c r="Q21" s="29"/>
      <x:c r="R21" s="29"/>
    </x:row>
    <x:row r="22">
      <x:c r="A22" s="29" t="str">
        <x:v>Entries posted</x:v>
      </x:c>
      <x:c r="B22" s="29" t="n">
        <x:f>COUNTIFS(R4:R19,1)</x:f>
        <x:v>0</x:v>
      </x:c>
      <x:c r="C22" s="29"/>
      <x:c r="D22" s="29"/>
      <x:c r="E22" s="29"/>
      <x:c r="F22" s="29"/>
      <x:c r="G22" s="29"/>
      <x:c r="H22" s="29" t="str">
        <x:v>Ledger status</x:v>
      </x:c>
      <x:c r="I22" s="29"/>
      <x:c r="J22" s="30"/>
      <x:c r="K22" s="32" t="str">
        <x:f>IF(ISNUMBER(L21),IF(L21&lt;=0,"BANKRUPT - STOP","Recorded entries only"),"Complete missing inputs")</x:f>
        <x:v>Recorded entries only</x:v>
      </x:c>
      <x:c r="L22" s="32"/>
      <x:c r="M22" s="32"/>
      <x:c r="N22" s="30"/>
      <x:c r="O22" s="30"/>
      <x:c r="P22" s="30"/>
      <x:c r="Q22" s="29"/>
      <x:c r="R22" s="29"/>
    </x:row>
    <x:row r="24" ht="21" customHeight="1">
      <x:c r="A24" s="33" t="str">
        <x:v>Amber cells are inputs. Blue-gray cells calculate. Use one ledger per team; gold does not reset between cycles.</x:v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</x:row>
    <x:row r="25" ht="21" customHeight="1">
      <x:c r="A25" s="33" t="str">
        <x:v>Enter numeric 0 for J, M, N, O and P when none. Set R to 1 only after the entry is fully recorded.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</x:row>
    <x:row r="26" ht="21" customHeight="1">
      <x:c r="A26" s="33" t="str">
        <x:v>K = N + 2 x O + 7 x P. Tickets are charged once at issue, including repairs due later. Do not bill hours again.</x:v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</x:row>
    <x:row r="27" ht="21" customHeight="1">
      <x:c r="A27" s="33" t="str">
        <x:v>J is actual repair hours served (0, 4 or 8), not ticket duration. A 32h ticket normally spans four later rounds.</x:v>
      </x:c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</x:row>
    <x:row r="28" ht="21" customHeight="1">
      <x:c r="A28" s="33" t="str">
        <x:v>Mark Full or Partial for a production roll. Leave both blank for no-roll maintenance or input starvation.</x:v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</x:row>
    <x:row r="29" ht="21" customHeight="1">
      <x:c r="A29" s="33" t="str">
        <x:v>Mark one applicable signal. For Vendor or Idle, leave signal boxes blank and explain in Q; no extra signal fee.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</x:row>
    <x:row r="30" ht="21" customHeight="1">
      <x:c r="A30" s="33" t="str">
        <x:v>M is actual good output transferred after inputs and downtime. Quality M alone counts as factory shipments.</x:v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</x:row>
    <x:row r="31" ht="21" customHeight="1">
      <x:c r="A31" s="33" t="str">
        <x:v>Use Settle for final analysis charges; enter J=0 and M=0 there. Already charged future hours are not charged again.</x:v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</x:row>
    <x:row r="32" ht="21" customHeight="1">
      <x:c r="A32" s="33" t="str">
        <x:v>Record incident ID, all dice, responsible team, due round and remaining repair hours in Q or the incident register.</x:v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</x:row>
    <x:row r="33" ht="21" customHeight="1">
      <x:c r="A33" s="33" t="str">
        <x:v>Totals include only entries marked complete. A positive balance is not proof of factory survival or target success.</x:v>
      </x:c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</x:row>
    <x:row r="34" ht="21" customHeight="1">
      <x:c r="A34" s="33" t="str">
        <x:v>Facilitator controls dice, buffers, queues, vendor counter/protection and all-team victory on the PDF factory sheet.</x:v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</x:row>
    <x:row r="35" ht="21" customHeight="1">
      <x:c r="A35" s="33" t="str">
        <x:v>Source: supplied Score Sheet.xlsx; revised rules edition 3.0. Baseline 10 gold, 15 rounds, ticket rates 1/2/7.</x:v>
      </x:c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</x:row>
  </x:sheetData>
  <x:mergeCells>
    <x:mergeCell ref="A2:A3"/>
    <x:mergeCell ref="J2:J3"/>
    <x:mergeCell ref="K2:K3"/>
    <x:mergeCell ref="D8:E8"/>
    <x:mergeCell ref="D9:E9"/>
    <x:mergeCell ref="D10:E10"/>
    <x:mergeCell ref="D11:E11"/>
    <x:mergeCell ref="D12:E12"/>
    <x:mergeCell ref="F2:I2"/>
    <x:mergeCell ref="B2:C2"/>
    <x:mergeCell ref="D3:E3"/>
    <x:mergeCell ref="D4:E4"/>
    <x:mergeCell ref="D5:E5"/>
    <x:mergeCell ref="D6:E6"/>
    <x:mergeCell ref="D7:E7"/>
    <x:mergeCell ref="A1:K1"/>
    <x:mergeCell ref="L2:L3"/>
    <x:mergeCell ref="M2:M3"/>
    <x:mergeCell ref="N2:N3"/>
    <x:mergeCell ref="O2:O3"/>
    <x:mergeCell ref="P2:P3"/>
    <x:mergeCell ref="Q2:Q3"/>
    <x:mergeCell ref="R2:R3"/>
    <x:mergeCell ref="A24:R24"/>
    <x:mergeCell ref="A25:R25"/>
    <x:mergeCell ref="A26:R26"/>
    <x:mergeCell ref="A27:R27"/>
    <x:mergeCell ref="A28:R28"/>
    <x:mergeCell ref="A29:R29"/>
    <x:mergeCell ref="A30:R30"/>
    <x:mergeCell ref="A31:R31"/>
    <x:mergeCell ref="A32:R32"/>
    <x:mergeCell ref="A33:R33"/>
    <x:mergeCell ref="A34:R34"/>
    <x:mergeCell ref="A35:R35"/>
  </x:mergeCells>
  <x:conditionalFormatting sqref="L4:L19">
    <x:cfRule type="expression" dxfId="0" priority="1">
      <x:formula>AND(ISNUMBER(L4),L4&lt;=0)</x:formula>
    </x:cfRule>
  </x:conditionalFormatting>
  <x:conditionalFormatting sqref="L21:L21">
    <x:cfRule type="cellIs" dxfId="1" priority="2" operator="lessThanOrEqual">
      <x:formula>0</x:formula>
    </x:cfRule>
  </x:conditionalFormatting>
  <x:dataValidations count="4">
    <x:dataValidation type="whole" operator="between" sqref="N4:P19">
      <x:formula1>0</x:formula1>
      <x:formula2>100</x:formula2>
    </x:dataValidation>
    <x:dataValidation type="whole" operator="between" sqref="M4:M19">
      <x:formula1>0</x:formula1>
      <x:formula2>2</x:formula2>
    </x:dataValidation>
    <x:dataValidation type="list" sqref="J4:J19">
      <x:formula1>"0,4,8"</x:formula1>
    </x:dataValidation>
    <x:dataValidation type="list" sqref="R4:R19">
      <x:formula1>"1"</x:formula1>
    </x:dataValidation>
  </x:dataValidations>
  <x:pageMargins left="0.7" right="0.7" top="0.75" bottom="0.75" header="0.3" footer="0.3"/>
</x:worksheet>
</file>